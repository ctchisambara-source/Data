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/>
  <mc:AlternateContent xmlns:mc="http://schemas.openxmlformats.org/markup-compatibility/2006">
    <mc:Choice Requires="x15">
      <x15ac:absPath xmlns:x15ac="http://schemas.microsoft.com/office/spreadsheetml/2010/11/ac" url="/Users/ctc/Documents/"/>
    </mc:Choice>
  </mc:AlternateContent>
  <xr:revisionPtr revIDLastSave="0" documentId="8_{E3AC5B6E-4B66-A542-8940-8B01CDB4C377}" xr6:coauthVersionLast="47" xr6:coauthVersionMax="47" xr10:uidLastSave="{00000000-0000-0000-0000-000000000000}"/>
  <bookViews>
    <workbookView xWindow="0" yWindow="680" windowWidth="34200" windowHeight="20340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<sst xmlns="http://schemas.openxmlformats.org/spreadsheetml/2006/main" count="99" uniqueCount="45">
  <si>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</si>
  <si>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</si>
  <si>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</si>
  <si>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</si>
  <si>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</si>
  <si>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</si>
  <si>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</si>
  <si>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</si>
  <si>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</si>
  <si>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</si>
  <si>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</si>
  <si>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</si>
  <si>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</si>
  <si>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</si>
  <si>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</si>
  <si>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</si>
  <si>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</si>
  <si>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</si>
  <si>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</si>
  <si>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</si>
  <si>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</si>
  <si>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</si>
  <si>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</si>
  <si>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</si>
  <si>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</si>
  <si>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</si>
  <si>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</si>
  <si>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</si>
  <si>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</si>
  <si>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</si>
  <si>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</si>
  <si>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</si>
  <si>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</si>
  <si>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</si>
  <si>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Promoted</t>
  </si>
  <si>
    <t>Bonus</t>
  </si>
  <si>
    <t>M</t>
  </si>
  <si>
    <t>Sales</t>
  </si>
  <si>
    <t>Yes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</si>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</sst>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5" fontId="0" fillId="0" borderId="0" xfId="1" applyNumberFormat="1" applyFont="1"/>
    <xf numFmtId="0" fontId="6" fillId="0" borderId="5" xfId="8"/>
    <xf numFmtId="165" fontId="6" fillId="0" borderId="5" xfId="8" applyNumberFormat="1"/>
    <xf numFmtId="0" fontId="3" fillId="0" borderId="0" xfId="3" applyBorder="1"/>
    <xf numFmtId="9" fontId="5" fillId="0" borderId="0" xfId="6" applyNumberFormat="1"/>
    <xf numFmtId="164" fontId="0" fillId="0" borderId="0" xfId="1" applyFont="1"/>
    <xf numFmtId="164" fontId="6" fillId="0" borderId="5" xfId="8" applyNumberFormat="1"/>
    <xf numFmtId="0" fontId="6" fillId="0" borderId="0" xfId="0" applyFont="1"/>
    <xf numFmtId="164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4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</cellXfs>
  <cellStyles count="10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5" workbookViewId="0">
      <selection activeCell="H15" sqref="H15"/>
    </sheetView>
  </sheetViews>
  <sheetFormatPr baseColWidth="10" defaultColWidth="8.83203125" defaultRowHeight="15" x14ac:dyDescent="0.2"/>
  <cols>
    <col min="1" max="1" width="16.6640625" bestFit="1" customWidth="1"/>
    <col min="2" max="11" width="8.1640625" bestFit="1" customWidth="1"/>
    <col min="12" max="14" width="7.6640625" customWidth="1"/>
    <col min="15" max="15" width="9.6640625" bestFit="1" customWidth="1"/>
  </cols>
  <sheetData>
    <row r="1" spans="1:16" ht="24" x14ac:dyDescent="0.3">
      <c r="A1" s="1" t="s">
        <v>0</v>
      </c>
    </row>
    <row r="2" spans="1:16" ht="9.75" customHeight="1" x14ac:dyDescent="0.2"/>
    <row r="3" spans="1:16" ht="20" x14ac:dyDescent="0.25">
      <c r="A3" s="9" t="s">
        <v>1</v>
      </c>
      <c r="B3" s="9"/>
    </row>
    <row r="4" spans="1:16" x14ac:dyDescent="0.2">
      <c r="A4" s="2" t="s">
        <v>2</v>
      </c>
      <c r="B4" s="10">
        <v>0.32</v>
      </c>
    </row>
    <row r="5" spans="1:16" x14ac:dyDescent="0.2">
      <c r="A5" s="2" t="s">
        <v>3</v>
      </c>
      <c r="B5" s="10">
        <v>0.08</v>
      </c>
    </row>
    <row r="6" spans="1:16" x14ac:dyDescent="0.2">
      <c r="A6" s="2" t="s">
        <v>4</v>
      </c>
      <c r="B6" s="10">
        <v>0.05</v>
      </c>
    </row>
    <row r="7" spans="1:16" ht="6.75" customHeight="1" x14ac:dyDescent="0.2"/>
    <row r="8" spans="1:16" ht="96.75" customHeight="1" x14ac:dyDescent="0.2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 x14ac:dyDescent="0.2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 x14ac:dyDescent="0.2"/>
    <row r="11" spans="1:16" ht="15.75" customHeight="1" x14ac:dyDescent="0.2">
      <c r="A11" s="2" t="s">
        <v>20</v>
      </c>
    </row>
    <row r="12" spans="1:16" x14ac:dyDescent="0.2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 x14ac:dyDescent="0.2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 x14ac:dyDescent="0.2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 x14ac:dyDescent="0.2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 x14ac:dyDescent="0.2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8" ht="16" thickBot="1" x14ac:dyDescent="0.25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8" ht="16" thickTop="1" x14ac:dyDescent="0.2"/>
    <row r="19" spans="1:18" x14ac:dyDescent="0.2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8" x14ac:dyDescent="0.2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8" x14ac:dyDescent="0.2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8" x14ac:dyDescent="0.2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8" ht="16" thickBot="1" x14ac:dyDescent="0.25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  <c r="P23" s="20"/>
      <c r="Q23" s="20"/>
      <c r="R23" s="20"/>
    </row>
    <row r="24" spans="1:18" ht="16" thickTop="1" x14ac:dyDescent="0.2">
      <c r="B24" s="11"/>
      <c r="O24" s="20"/>
    </row>
    <row r="25" spans="1:18" x14ac:dyDescent="0.2">
      <c r="A25" s="13"/>
      <c r="B25" s="14"/>
    </row>
    <row r="26" spans="1:18" x14ac:dyDescent="0.2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36.6640625" bestFit="1" customWidth="1"/>
    <col min="2" max="2" width="9.1640625" bestFit="1" customWidth="1"/>
    <col min="3" max="3" width="10.83203125" bestFit="1" customWidth="1"/>
    <col min="4" max="4" width="13.6640625" bestFit="1" customWidth="1"/>
    <col min="5" max="5" width="12.83203125" bestFit="1" customWidth="1"/>
    <col min="6" max="6" width="12" bestFit="1" customWidth="1"/>
    <col min="7" max="7" width="18" bestFit="1" customWidth="1"/>
    <col min="8" max="8" width="11.1640625" bestFit="1" customWidth="1"/>
    <col min="9" max="9" width="5.5" bestFit="1" customWidth="1"/>
    <col min="10" max="10" width="17" bestFit="1" customWidth="1"/>
    <col min="11" max="11" width="8.5" bestFit="1" customWidth="1"/>
  </cols>
  <sheetData>
    <row r="1" spans="1:10" ht="24" x14ac:dyDescent="0.3">
      <c r="A1" s="1" t="s">
        <v>29</v>
      </c>
      <c r="E1" s="19"/>
    </row>
    <row r="2" spans="1:10" x14ac:dyDescent="0.2">
      <c r="E2" s="19"/>
    </row>
    <row r="3" spans="1:10" ht="17" x14ac:dyDescent="0.2">
      <c r="A3" s="4" t="s">
        <v>30</v>
      </c>
      <c r="B3" s="4" t="s">
        <v>31</v>
      </c>
      <c r="C3" s="4" t="s">
        <v>32</v>
      </c>
      <c r="D3" s="4" t="s">
        <v>33</v>
      </c>
      <c r="E3" t="s">
        <v>34</v>
      </c>
      <c r="F3" t="s">
        <v>35</v>
      </c>
    </row>
    <row r="4" spans="1:10" x14ac:dyDescent="0.2">
      <c r="A4" t="s">
        <v>5</v>
      </c>
      <c r="B4" t="s">
        <v>36</v>
      </c>
      <c r="C4" s="6">
        <v>37864</v>
      </c>
      <c r="D4" t="s">
        <v>37</v>
      </c>
      <c r="E4" t="s">
        <v>38</v>
      </c>
      <c r="F4" s="22"/>
      <c r="G4" s="22"/>
      <c r="H4" s="22"/>
    </row>
    <row r="5" spans="1:10" x14ac:dyDescent="0.2">
      <c r="A5" t="s">
        <v>6</v>
      </c>
      <c r="B5" t="s">
        <v>36</v>
      </c>
      <c r="C5" s="6">
        <v>26148</v>
      </c>
      <c r="D5" t="s">
        <v>39</v>
      </c>
      <c r="F5" s="22"/>
      <c r="G5" s="22"/>
      <c r="H5" s="22"/>
    </row>
    <row r="6" spans="1:10" x14ac:dyDescent="0.2">
      <c r="A6" t="s">
        <v>7</v>
      </c>
      <c r="B6" t="s">
        <v>40</v>
      </c>
      <c r="C6" s="6">
        <v>26345</v>
      </c>
      <c r="D6" t="s">
        <v>41</v>
      </c>
      <c r="F6" s="22">
        <v>12</v>
      </c>
      <c r="G6" s="22"/>
      <c r="H6" s="22"/>
    </row>
    <row r="7" spans="1:10" x14ac:dyDescent="0.2">
      <c r="A7" t="s">
        <v>8</v>
      </c>
      <c r="B7" t="s">
        <v>40</v>
      </c>
      <c r="C7" s="6">
        <v>23562</v>
      </c>
      <c r="D7" t="s">
        <v>37</v>
      </c>
    </row>
    <row r="8" spans="1:10" x14ac:dyDescent="0.2">
      <c r="A8" t="s">
        <v>9</v>
      </c>
      <c r="B8" t="s">
        <v>36</v>
      </c>
      <c r="C8" s="6">
        <v>19888</v>
      </c>
      <c r="D8" t="s">
        <v>41</v>
      </c>
    </row>
    <row r="9" spans="1:10" x14ac:dyDescent="0.2">
      <c r="A9" t="s">
        <v>10</v>
      </c>
      <c r="B9" t="s">
        <v>36</v>
      </c>
      <c r="C9" s="6">
        <v>32918</v>
      </c>
      <c r="D9" t="s">
        <v>39</v>
      </c>
      <c r="J9" s="21"/>
    </row>
    <row r="10" spans="1:10" x14ac:dyDescent="0.2">
      <c r="A10" t="s">
        <v>11</v>
      </c>
      <c r="B10" t="s">
        <v>36</v>
      </c>
      <c r="C10" s="6">
        <v>18931</v>
      </c>
      <c r="D10" t="s">
        <v>37</v>
      </c>
      <c r="J10" s="21"/>
    </row>
    <row r="11" spans="1:10" x14ac:dyDescent="0.2">
      <c r="A11" t="s">
        <v>12</v>
      </c>
      <c r="B11" t="s">
        <v>36</v>
      </c>
      <c r="C11" s="6">
        <v>32829</v>
      </c>
      <c r="D11" t="s">
        <v>37</v>
      </c>
      <c r="J11" s="23"/>
    </row>
    <row r="12" spans="1:10" x14ac:dyDescent="0.2">
      <c r="A12" t="s">
        <v>13</v>
      </c>
      <c r="B12" t="s">
        <v>36</v>
      </c>
      <c r="C12" s="6">
        <v>38296</v>
      </c>
      <c r="D12" t="s">
        <v>39</v>
      </c>
    </row>
    <row r="13" spans="1:10" x14ac:dyDescent="0.2">
      <c r="A13" t="s">
        <v>14</v>
      </c>
      <c r="B13" t="s">
        <v>40</v>
      </c>
      <c r="C13" s="6">
        <v>28554</v>
      </c>
      <c r="D13" t="s">
        <v>37</v>
      </c>
      <c r="J13" s="24"/>
    </row>
    <row r="14" spans="1:10" x14ac:dyDescent="0.2">
      <c r="A14" t="s">
        <v>15</v>
      </c>
      <c r="B14" t="s">
        <v>36</v>
      </c>
      <c r="C14" s="6">
        <v>27368</v>
      </c>
      <c r="D14" t="s">
        <v>41</v>
      </c>
      <c r="J14" s="21"/>
    </row>
    <row r="15" spans="1:10" x14ac:dyDescent="0.2">
      <c r="A15" t="s">
        <v>16</v>
      </c>
      <c r="B15" t="s">
        <v>40</v>
      </c>
      <c r="C15" s="6">
        <v>20850</v>
      </c>
      <c r="D15" t="s">
        <v>39</v>
      </c>
    </row>
    <row r="16" spans="1:10" x14ac:dyDescent="0.2">
      <c r="A16" t="s">
        <v>17</v>
      </c>
      <c r="B16" t="s">
        <v>36</v>
      </c>
      <c r="C16" s="6">
        <v>19345</v>
      </c>
      <c r="D16" t="s">
        <v>39</v>
      </c>
    </row>
    <row r="17" spans="1:5" x14ac:dyDescent="0.2">
      <c r="A17" t="s">
        <v>18</v>
      </c>
      <c r="B17" t="s">
        <v>40</v>
      </c>
      <c r="C17" s="6">
        <v>38158</v>
      </c>
      <c r="D17" t="s">
        <v>37</v>
      </c>
    </row>
    <row r="18" spans="1:5" x14ac:dyDescent="0.2">
      <c r="A18" s="7" t="s">
        <v>26</v>
      </c>
      <c r="B18" s="7"/>
      <c r="C18" s="8">
        <f>SUM(C4:C17)</f>
        <v>391056</v>
      </c>
      <c r="D18" s="7"/>
    </row>
    <row r="20" spans="1:5" x14ac:dyDescent="0.2">
      <c r="A20" s="3" t="s">
        <v>33</v>
      </c>
      <c r="B20" s="3" t="s">
        <v>32</v>
      </c>
      <c r="C20" s="3" t="s">
        <v>42</v>
      </c>
      <c r="E20" s="3" t="s">
        <v>33</v>
      </c>
    </row>
    <row r="21" spans="1:5" x14ac:dyDescent="0.2">
      <c r="A21" t="s">
        <v>37</v>
      </c>
      <c r="B21" s="6">
        <f>SUMIF($D$4:$D$17,A21,$C$4:$C$17)</f>
        <v>179898</v>
      </c>
      <c r="C21">
        <f>COUNTIF($D$4:$D$17,A21)</f>
        <v>6</v>
      </c>
      <c r="E21" s="3" t="s">
        <v>32</v>
      </c>
    </row>
    <row r="22" spans="1:5" x14ac:dyDescent="0.2">
      <c r="A22" t="s">
        <v>39</v>
      </c>
      <c r="B22" s="6">
        <f t="shared" ref="B22:B23" si="0">SUMIF($D$4:$D$17,A22,$C$4:$C$17)</f>
        <v>137557</v>
      </c>
      <c r="C22">
        <f t="shared" ref="C22:C23" si="1">COUNTIF($D$4:$D$17,A22)</f>
        <v>5</v>
      </c>
      <c r="E22" s="3" t="s">
        <v>42</v>
      </c>
    </row>
    <row r="23" spans="1:5" x14ac:dyDescent="0.2">
      <c r="A23" t="s">
        <v>41</v>
      </c>
      <c r="B23" s="6">
        <f t="shared" si="0"/>
        <v>73601</v>
      </c>
      <c r="C23">
        <f t="shared" si="1"/>
        <v>3</v>
      </c>
    </row>
    <row r="24" spans="1:5" x14ac:dyDescent="0.2">
      <c r="A24" s="7" t="s">
        <v>43</v>
      </c>
      <c r="B24" s="8">
        <f>SUM(B21:B23)</f>
        <v>391056</v>
      </c>
      <c r="C24" s="8">
        <f>SUM(C21:C23)</f>
        <v>14</v>
      </c>
    </row>
    <row r="26" spans="1:5" x14ac:dyDescent="0.2">
      <c r="A26" s="3" t="s">
        <v>44</v>
      </c>
      <c r="B26" s="3" t="s">
        <v>32</v>
      </c>
      <c r="C26" s="3" t="s">
        <v>42</v>
      </c>
    </row>
    <row r="27" spans="1:5" x14ac:dyDescent="0.2">
      <c r="A27" t="s">
        <v>36</v>
      </c>
      <c r="B27" s="6">
        <f>SUMIF($B$4:$B$17,A27,$C$4:$C$17)</f>
        <v>253587</v>
      </c>
      <c r="C27">
        <f>COUNTIF(B4:B17,A27)</f>
        <v>9</v>
      </c>
    </row>
    <row r="28" spans="1:5" x14ac:dyDescent="0.2">
      <c r="A28" t="s">
        <v>40</v>
      </c>
      <c r="B28" s="6">
        <f>SUMIF($B$4:$B$17,A28,$C$4:$C$17)</f>
        <v>137469</v>
      </c>
      <c r="C28">
        <f>COUNTIF(B5:B17,A28)</f>
        <v>5</v>
      </c>
    </row>
    <row r="29" spans="1:5" x14ac:dyDescent="0.2">
      <c r="A29" s="7" t="s">
        <v>43</v>
      </c>
      <c r="B29" s="8">
        <f>SUM(B27:B28)</f>
        <v>391056</v>
      </c>
      <c r="C29" s="8">
        <f>SUM(C27:C28)</f>
        <v>14</v>
      </c>
    </row>
  </sheetData>
  <dataValidations count="4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  <dataValidation type="list" allowBlank="1" showInputMessage="1" showErrorMessage="1" sqref="E4" xr:uid="{675E9193-A167-4A2D-8D1C-2367E5FC4174}">
      <formula1>"Yes, No"</formula1>
    </dataValidation>
    <dataValidation type="whole" allowBlank="1" showInputMessage="1" showErrorMessage="1" sqref="F4:F17" xr:uid="{A5CD2CD7-F0CC-4680-B4AC-4D0503DFD7C7}">
      <formula1>1</formula1>
      <formula2>50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F8E21-90E3-4695-8B8E-A7F7EC7E87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7997B-BA2A-4118-AECF-7E2FB65D8095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634765a6-1d3c-4c1a-bfa4-9838dcc44aa7"/>
  </ds:schemaRefs>
</ds:datastoreItem>
</file>

<file path=customXml/itemProps3.xml><?xml version="1.0" encoding="utf-8"?>
<ds:datastoreItem xmlns:ds="http://schemas.openxmlformats.org/officeDocument/2006/customXml" ds:itemID="{D046EBA4-A48F-4B87-983F-C1DC2C25D2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4765a6-1d3c-4c1a-bfa4-9838dcc44a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Payroll</vt:lpstr>
      <vt:lpstr>Headcount &amp; Salaries</vt:lpstr>
      <vt:lpstr>Salary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Carlton Chisambara</cp:lastModifiedBy>
  <cp:revision/>
  <dcterms:created xsi:type="dcterms:W3CDTF">2009-08-25T13:44:58Z</dcterms:created>
  <dcterms:modified xsi:type="dcterms:W3CDTF">2026-03-16T14:38:17Z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